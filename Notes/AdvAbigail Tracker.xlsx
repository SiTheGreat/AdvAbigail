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rograms\Steam\Steam\steamapps\common\Stardew Valley\SiMods\[Si]\AdvAbigail\Notes\"/>
    </mc:Choice>
  </mc:AlternateContent>
  <xr:revisionPtr revIDLastSave="0" documentId="13_ncr:1_{30B4D206-A99D-4457-8881-3CDAAA4D4698}" xr6:coauthVersionLast="47" xr6:coauthVersionMax="47" xr10:uidLastSave="{00000000-0000-0000-0000-000000000000}"/>
  <bookViews>
    <workbookView xWindow="-108" yWindow="-108" windowWidth="23256" windowHeight="12576" xr2:uid="{00000000-000D-0000-FFFF-FFFF00000000}"/>
  </bookViews>
  <sheets>
    <sheet name="Bas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 i="1" l="1"/>
  <c r="K15" i="1"/>
  <c r="K13" i="1"/>
  <c r="K12" i="1"/>
  <c r="K14" i="1" l="1"/>
  <c r="K16" i="1" s="1"/>
</calcChain>
</file>

<file path=xl/sharedStrings.xml><?xml version="1.0" encoding="utf-8"?>
<sst xmlns="http://schemas.openxmlformats.org/spreadsheetml/2006/main" count="183" uniqueCount="152">
  <si>
    <t>ID</t>
  </si>
  <si>
    <t>Type</t>
  </si>
  <si>
    <t>Status</t>
  </si>
  <si>
    <t>Description</t>
  </si>
  <si>
    <t>Hidevent</t>
  </si>
  <si>
    <t>Event</t>
  </si>
  <si>
    <t>Intro</t>
  </si>
  <si>
    <t>Farm decision</t>
  </si>
  <si>
    <t>Guild decision</t>
  </si>
  <si>
    <t>Sword training 1</t>
  </si>
  <si>
    <t>Dwarf meeting</t>
  </si>
  <si>
    <t>Wiz 1</t>
  </si>
  <si>
    <t>Mail</t>
  </si>
  <si>
    <t>Morning run 1</t>
  </si>
  <si>
    <t>Time delay for mail</t>
  </si>
  <si>
    <t>Morning run letter</t>
  </si>
  <si>
    <t>Orienteering orientation</t>
  </si>
  <si>
    <t>Mines invite</t>
  </si>
  <si>
    <t>Orienteering showoff</t>
  </si>
  <si>
    <t>Mines guild prep</t>
  </si>
  <si>
    <t>Mines first venture</t>
  </si>
  <si>
    <t>Mines fail</t>
  </si>
  <si>
    <t>Hidevents</t>
  </si>
  <si>
    <t>Events</t>
  </si>
  <si>
    <t>Totevents</t>
  </si>
  <si>
    <t>Trigger</t>
  </si>
  <si>
    <t>Return to mines</t>
  </si>
  <si>
    <t>How to rescue people</t>
  </si>
  <si>
    <t>playerkilled event</t>
  </si>
  <si>
    <t>hospital scene</t>
  </si>
  <si>
    <t>talk wi Abigail abt missing gig</t>
  </si>
  <si>
    <t>apology scene</t>
  </si>
  <si>
    <t>Sword training 2 spar w marlon</t>
  </si>
  <si>
    <t>Morning run 2</t>
  </si>
  <si>
    <t>Wiz 2</t>
  </si>
  <si>
    <t>Friends praise battle scars</t>
  </si>
  <si>
    <t>Wiz offers healing</t>
  </si>
  <si>
    <t>Jodi care package and Kent offering awk advice</t>
  </si>
  <si>
    <t>Penny and kids w drawings</t>
  </si>
  <si>
    <t>Parents scolding</t>
  </si>
  <si>
    <t>farmer and marlon talk till she wakes up; Hospital for a few weeks while people check in</t>
  </si>
  <si>
    <t>leave hospital</t>
  </si>
  <si>
    <t>make amends with parents</t>
  </si>
  <si>
    <t>Returns to guild</t>
  </si>
  <si>
    <t>Meet Krobus</t>
  </si>
  <si>
    <t>Sword training spar w farmer</t>
  </si>
  <si>
    <t>Save kids in forest</t>
  </si>
  <si>
    <t>Morning run 3 race</t>
  </si>
  <si>
    <t>Finds bulging rock wall and reinforce scene</t>
  </si>
  <si>
    <t>Abigail asks for help</t>
  </si>
  <si>
    <t>Final fight scene</t>
  </si>
  <si>
    <t>Marlon asks for pris shard (bring it to guild when have it)</t>
  </si>
  <si>
    <t>Triggers 'knighting' Abigail scene, possibly in front of town, have her recognize farmer too</t>
  </si>
  <si>
    <t>need help apologizing to sam and seb; mail?</t>
  </si>
  <si>
    <t>M 'I suppose I as scared of this happening to you, so I didn't train you. When I saw how strong you'd become, I decided to tke a chance'</t>
  </si>
  <si>
    <t>f 'I have become strong, and so will she, but you nee to support her without all these doubts'</t>
  </si>
  <si>
    <t>rescue ops</t>
  </si>
  <si>
    <t>mail with dino egg</t>
  </si>
  <si>
    <t>museum scene kids ask abt monsters; need ver for CCR!</t>
  </si>
  <si>
    <t>mail w ostrich egg</t>
  </si>
  <si>
    <t>Weapons care</t>
  </si>
  <si>
    <t>Museum scene - learn abt artifacts</t>
  </si>
  <si>
    <t>Done %</t>
  </si>
  <si>
    <t>After days</t>
  </si>
  <si>
    <t>Marr 1</t>
  </si>
  <si>
    <t>Scheds</t>
  </si>
  <si>
    <t>Marr 2</t>
  </si>
  <si>
    <t>Marr Bonus</t>
  </si>
  <si>
    <t>actually 4</t>
  </si>
  <si>
    <t>Other</t>
  </si>
  <si>
    <t>Xovers</t>
  </si>
  <si>
    <t>SVE</t>
  </si>
  <si>
    <t>Map compats for events</t>
  </si>
  <si>
    <t>Map compats for sched</t>
  </si>
  <si>
    <t>First Slash events</t>
  </si>
  <si>
    <t>George tells her to be careful in the mines (yes it's vanilla)</t>
  </si>
  <si>
    <t>brk 2</t>
  </si>
  <si>
    <t>brk 3</t>
  </si>
  <si>
    <t>Gets hurt in mines (summer/winter)</t>
  </si>
  <si>
    <t>First kill; need version if seen 14h event first</t>
  </si>
  <si>
    <t>NES</t>
  </si>
  <si>
    <t>Meet Mateo</t>
  </si>
  <si>
    <t>CAG rotation</t>
  </si>
  <si>
    <t>AGE</t>
  </si>
  <si>
    <t>Help w research</t>
  </si>
  <si>
    <t>MR</t>
  </si>
  <si>
    <t>Mine scene: dwarf sneaks abi a couple of cherry bombs 'you won't tell right f?' 'of course they won't they know how useful these are' 'for emergenies only! Grin'</t>
  </si>
  <si>
    <t>Dad Ras events (CT instead?)</t>
  </si>
  <si>
    <t>post arc 1</t>
  </si>
  <si>
    <t>post arc 2</t>
  </si>
  <si>
    <t>Treat!</t>
  </si>
  <si>
    <t>wiz basemen scene where she asks about the appearance changer and other stuff)</t>
  </si>
  <si>
    <t>scenes w Morgan</t>
  </si>
  <si>
    <t>Marr 1 v1</t>
  </si>
  <si>
    <t>Marr 1 v2</t>
  </si>
  <si>
    <t>Marr bonus</t>
  </si>
  <si>
    <t>Lacey HM</t>
  </si>
  <si>
    <t>Meeting between Abigail and Lacey?</t>
  </si>
  <si>
    <t>Compats</t>
  </si>
  <si>
    <t>Breakfast</t>
  </si>
  <si>
    <t>Compat</t>
  </si>
  <si>
    <t>Marlon/Gunther convo topics</t>
  </si>
  <si>
    <t>Configs</t>
  </si>
  <si>
    <t>Sprites (eventual)?</t>
  </si>
  <si>
    <t>Sched?</t>
  </si>
  <si>
    <t>Talks about gig (include admin scene) (Starting here, Marlon gets a vacation once a year; spawn abigail behind counter in vanilla)</t>
  </si>
  <si>
    <t>More mines, marlon vacay</t>
  </si>
  <si>
    <t>Sched 1</t>
  </si>
  <si>
    <t>Sched 2</t>
  </si>
  <si>
    <t>Guild oath scene</t>
  </si>
  <si>
    <t>CTs</t>
  </si>
  <si>
    <t>Meet Silly (or set after town meeting)</t>
  </si>
  <si>
    <t>Temp Sched</t>
  </si>
  <si>
    <t>Hospital</t>
  </si>
  <si>
    <t>Dialogue</t>
  </si>
  <si>
    <t>use cherry bomb if event</t>
  </si>
  <si>
    <t>MarlonVacay (need compats)</t>
  </si>
  <si>
    <t>Marlon apology for how he's been acting</t>
  </si>
  <si>
    <t>AdvAbiDelay1</t>
  </si>
  <si>
    <t>AdvAbiDelay2</t>
  </si>
  <si>
    <t>AdvAbiDelay3 AdvAbi_M_Start</t>
  </si>
  <si>
    <t>AdvAbiRun1</t>
  </si>
  <si>
    <t>AdvAbiLost</t>
  </si>
  <si>
    <t>AdvAbiFirstMine</t>
  </si>
  <si>
    <t>AdvAbiWeapons</t>
  </si>
  <si>
    <t>Seb and Sam</t>
  </si>
  <si>
    <t>Trio meets up, then abi checks the time nd runs off, other two commnt on how she alwys seems busy lately 'doing what? It's not exactly hopping around here', was almost late to a gig the other day; 'f do you know what's up?' f '…'</t>
  </si>
  <si>
    <t>f try to talk w abi abt s&amp;s while prepping for a mineventure, she brushes you off, marlon 'alright have everything? Let's go'</t>
  </si>
  <si>
    <t>Mineventure, Abi's first kill, 'I-I'm okay…'</t>
  </si>
  <si>
    <t>Arc 1</t>
  </si>
  <si>
    <t>Mineventure 2 - start in the mines 'we'll be fine w/o marlon', monster shows up, abi gets hurt, f fights, lots more show up, abi tosses bombs, f gets both out</t>
  </si>
  <si>
    <t>Help Abi make them all make up</t>
  </si>
  <si>
    <t>Montage scene inc island shot and potion brewing w wiz &lt;3</t>
  </si>
  <si>
    <t>Guild handling - start marlon vacay; 'tell me what you need; I can handle it!'</t>
  </si>
  <si>
    <t>AdvAbiShop</t>
  </si>
  <si>
    <t>Arc 2</t>
  </si>
  <si>
    <t>AdvAbiSpar</t>
  </si>
  <si>
    <t>Secret event: custom gift response to getting a pris shard, shows it to marlon who takes her to the desert with it…</t>
  </si>
  <si>
    <t>Miniventure mail</t>
  </si>
  <si>
    <t>AdvAbiSlay</t>
  </si>
  <si>
    <t>AdvAbiTalk</t>
  </si>
  <si>
    <t>Talk w Abi later, encourage her to open up to her friends</t>
  </si>
  <si>
    <t>She does so, big hug</t>
  </si>
  <si>
    <t>AdvAbiFriends</t>
  </si>
  <si>
    <t>Hosp scene - s&amp;s show up to remark on scars 'we saw you come in here and wanted to check on you', then parents show up 'harvey called us/we saw you coming here', then marlon shows up, then pierre tries to scuffle w marlon, then harvey kicks them all out lol</t>
  </si>
  <si>
    <t>AdvAbiMtn</t>
  </si>
  <si>
    <t>Marlon takes a vacay - start guildweek here</t>
  </si>
  <si>
    <t>AdvAbiWiz</t>
  </si>
  <si>
    <t>Scene of her parents being concerned</t>
  </si>
  <si>
    <t>xover w bearfam - buys some supplies from gunnar for a mine run</t>
  </si>
  <si>
    <t>Arc 3</t>
  </si>
  <si>
    <t>AdvAbiDwarf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</si>
</sst>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1">
    <fill>
      <patternFill patternType="none"/>
    </fill>
    <fill>
      <patternFill patternType="gray125"/>
    </fill>
    <fill>
      <patternFill patternType="solid">
        <fgColor rgb="FF00B0F0"/>
        <bgColor indexed="64"/>
      </patternFill>
    </fill>
    <fill>
      <patternFill patternType="solid">
        <fgColor rgb="FFFF66FF"/>
        <bgColor indexed="64"/>
      </patternFill>
    </fill>
    <fill>
      <patternFill patternType="solid">
        <fgColor rgb="FF92D050"/>
        <bgColor indexed="64"/>
      </patternFill>
    </fill>
    <fill>
      <patternFill patternType="solid">
        <fgColor rgb="FFC00000"/>
        <bgColor indexed="64"/>
      </patternFill>
    </fill>
    <fill>
      <patternFill patternType="solid">
        <fgColor theme="8"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002060"/>
        <bgColor indexed="64"/>
      </patternFill>
    </fill>
    <fill>
      <patternFill patternType="solid">
        <fgColor theme="0"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cellXfs>
  <cellStyles count="1">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7"/>
  <sheetViews>
    <sheetView tabSelected="1" topLeftCell="A16" workbookViewId="0">
      <selection activeCell="D28" sqref="D28"/>
    </sheetView>
  </sheetViews>
  <sheetFormatPr defaultRowHeight="14.4" x14ac:dyDescent="0.3"/>
  <cols>
    <col min="1" max="1" width="10.5546875" customWidth="1"/>
    <col min="3" max="3" width="6.21875" customWidth="1"/>
    <col min="4" max="4" width="11.77734375" customWidth="1"/>
    <col min="6" max="6" width="9.21875" customWidth="1"/>
    <col min="9" max="9" width="14.21875" customWidth="1"/>
  </cols>
  <sheetData>
    <row r="1" spans="1:18" s="1" customFormat="1" x14ac:dyDescent="0.3">
      <c r="A1" s="1" t="s">
        <v>0</v>
      </c>
      <c r="B1" s="1" t="s">
        <v>1</v>
      </c>
      <c r="C1" s="1" t="s">
        <v>2</v>
      </c>
      <c r="D1" s="1" t="s">
        <v>3</v>
      </c>
      <c r="F1" s="1" t="s">
        <v>63</v>
      </c>
      <c r="G1" s="1">
        <f>SUM(F:F)</f>
        <v>60</v>
      </c>
      <c r="I1" s="1" t="s">
        <v>110</v>
      </c>
      <c r="J1" s="1" t="s">
        <v>65</v>
      </c>
      <c r="M1" s="1" t="s">
        <v>98</v>
      </c>
      <c r="Q1" s="1" t="s">
        <v>70</v>
      </c>
    </row>
    <row r="2" spans="1:18" x14ac:dyDescent="0.3">
      <c r="A2">
        <v>262213000</v>
      </c>
      <c r="B2" t="s">
        <v>4</v>
      </c>
      <c r="C2" s="6"/>
      <c r="D2" t="s">
        <v>25</v>
      </c>
      <c r="F2">
        <v>0</v>
      </c>
      <c r="H2" s="5" t="s">
        <v>129</v>
      </c>
      <c r="I2" t="s">
        <v>118</v>
      </c>
      <c r="J2" s="2" t="s">
        <v>107</v>
      </c>
      <c r="M2" t="s">
        <v>71</v>
      </c>
      <c r="N2" s="2" t="s">
        <v>72</v>
      </c>
      <c r="Q2" t="s">
        <v>71</v>
      </c>
      <c r="R2" t="s">
        <v>74</v>
      </c>
    </row>
    <row r="3" spans="1:18" x14ac:dyDescent="0.3">
      <c r="A3">
        <v>262213001</v>
      </c>
      <c r="B3" t="s">
        <v>5</v>
      </c>
      <c r="C3" s="6"/>
      <c r="D3" t="s">
        <v>6</v>
      </c>
      <c r="F3">
        <v>7</v>
      </c>
      <c r="I3" t="s">
        <v>119</v>
      </c>
      <c r="J3" t="s">
        <v>108</v>
      </c>
      <c r="K3" t="s">
        <v>106</v>
      </c>
      <c r="N3" s="2" t="s">
        <v>73</v>
      </c>
      <c r="R3" t="s">
        <v>87</v>
      </c>
    </row>
    <row r="4" spans="1:18" x14ac:dyDescent="0.3">
      <c r="A4">
        <v>262213002</v>
      </c>
      <c r="B4" t="s">
        <v>5</v>
      </c>
      <c r="C4" s="6"/>
      <c r="D4" t="s">
        <v>7</v>
      </c>
      <c r="F4">
        <v>3</v>
      </c>
      <c r="J4" t="s">
        <v>112</v>
      </c>
      <c r="K4" t="s">
        <v>113</v>
      </c>
      <c r="M4" t="s">
        <v>99</v>
      </c>
      <c r="N4" s="2" t="s">
        <v>100</v>
      </c>
      <c r="R4" t="s">
        <v>91</v>
      </c>
    </row>
    <row r="5" spans="1:18" x14ac:dyDescent="0.3">
      <c r="A5">
        <v>262213003</v>
      </c>
      <c r="B5" t="s">
        <v>5</v>
      </c>
      <c r="C5" s="6"/>
      <c r="D5" t="s">
        <v>8</v>
      </c>
      <c r="F5">
        <v>0</v>
      </c>
      <c r="I5" t="s">
        <v>120</v>
      </c>
      <c r="R5" t="s">
        <v>92</v>
      </c>
    </row>
    <row r="6" spans="1:18" x14ac:dyDescent="0.3">
      <c r="A6">
        <v>262213004</v>
      </c>
      <c r="B6" t="s">
        <v>5</v>
      </c>
      <c r="C6" s="6"/>
      <c r="D6" t="s">
        <v>9</v>
      </c>
      <c r="F6">
        <v>8</v>
      </c>
      <c r="J6" s="1" t="s">
        <v>69</v>
      </c>
      <c r="R6" t="s">
        <v>101</v>
      </c>
    </row>
    <row r="7" spans="1:18" x14ac:dyDescent="0.3">
      <c r="A7">
        <v>262213005</v>
      </c>
      <c r="B7" t="s">
        <v>5</v>
      </c>
      <c r="C7" s="6"/>
      <c r="D7" t="s">
        <v>10</v>
      </c>
      <c r="F7">
        <v>0</v>
      </c>
      <c r="J7" t="s">
        <v>64</v>
      </c>
      <c r="K7" s="2" t="s">
        <v>88</v>
      </c>
      <c r="L7" t="s">
        <v>89</v>
      </c>
      <c r="Q7" t="s">
        <v>80</v>
      </c>
      <c r="R7" t="s">
        <v>81</v>
      </c>
    </row>
    <row r="8" spans="1:18" x14ac:dyDescent="0.3">
      <c r="A8">
        <v>262213006</v>
      </c>
      <c r="B8" t="s">
        <v>5</v>
      </c>
      <c r="C8" s="6"/>
      <c r="D8" t="s">
        <v>11</v>
      </c>
      <c r="F8">
        <v>0</v>
      </c>
      <c r="I8" t="s">
        <v>147</v>
      </c>
      <c r="J8" t="s">
        <v>66</v>
      </c>
      <c r="K8" t="s">
        <v>89</v>
      </c>
      <c r="R8" t="s">
        <v>82</v>
      </c>
    </row>
    <row r="9" spans="1:18" x14ac:dyDescent="0.3">
      <c r="A9">
        <v>262213007</v>
      </c>
      <c r="B9" t="s">
        <v>4</v>
      </c>
      <c r="C9" s="6"/>
      <c r="D9" t="s">
        <v>14</v>
      </c>
      <c r="F9">
        <v>0</v>
      </c>
      <c r="J9" t="s">
        <v>67</v>
      </c>
      <c r="R9" t="s">
        <v>109</v>
      </c>
    </row>
    <row r="10" spans="1:18" x14ac:dyDescent="0.3">
      <c r="A10">
        <v>262213008</v>
      </c>
      <c r="B10" t="s">
        <v>12</v>
      </c>
      <c r="C10" s="6"/>
      <c r="D10" t="s">
        <v>15</v>
      </c>
      <c r="F10">
        <v>0</v>
      </c>
      <c r="G10" t="s">
        <v>68</v>
      </c>
      <c r="M10" s="1" t="s">
        <v>102</v>
      </c>
      <c r="Q10" t="s">
        <v>83</v>
      </c>
      <c r="R10" t="s">
        <v>111</v>
      </c>
    </row>
    <row r="11" spans="1:18" x14ac:dyDescent="0.3">
      <c r="A11">
        <v>262213009</v>
      </c>
      <c r="B11" t="s">
        <v>5</v>
      </c>
      <c r="C11" s="6"/>
      <c r="D11" t="s">
        <v>13</v>
      </c>
      <c r="F11">
        <v>0</v>
      </c>
      <c r="I11" t="s">
        <v>121</v>
      </c>
      <c r="M11" t="s">
        <v>104</v>
      </c>
      <c r="R11" t="s">
        <v>84</v>
      </c>
    </row>
    <row r="12" spans="1:18" x14ac:dyDescent="0.3">
      <c r="A12">
        <v>262213010</v>
      </c>
      <c r="B12" t="s">
        <v>5</v>
      </c>
      <c r="C12" s="6"/>
      <c r="D12" t="s">
        <v>16</v>
      </c>
      <c r="F12">
        <v>0</v>
      </c>
      <c r="I12" t="s">
        <v>122</v>
      </c>
      <c r="J12" s="3" t="s">
        <v>22</v>
      </c>
      <c r="K12" s="3">
        <f>COUNTIF(B:B,"Hidevent")</f>
        <v>2</v>
      </c>
      <c r="M12" t="s">
        <v>116</v>
      </c>
      <c r="Q12" t="s">
        <v>85</v>
      </c>
      <c r="R12" t="s">
        <v>90</v>
      </c>
    </row>
    <row r="13" spans="1:18" x14ac:dyDescent="0.3">
      <c r="A13">
        <v>262213011</v>
      </c>
      <c r="B13" t="s">
        <v>12</v>
      </c>
      <c r="C13" s="6"/>
      <c r="D13" t="s">
        <v>18</v>
      </c>
      <c r="F13">
        <v>0</v>
      </c>
      <c r="J13" s="3" t="s">
        <v>23</v>
      </c>
      <c r="K13" s="3">
        <f>COUNTIF(B:B,"Event")</f>
        <v>20</v>
      </c>
      <c r="M13" t="s">
        <v>103</v>
      </c>
      <c r="Q13" t="s">
        <v>96</v>
      </c>
      <c r="R13" t="s">
        <v>97</v>
      </c>
    </row>
    <row r="14" spans="1:18" x14ac:dyDescent="0.3">
      <c r="A14">
        <v>262213012</v>
      </c>
      <c r="B14" t="s">
        <v>12</v>
      </c>
      <c r="C14" s="6"/>
      <c r="D14" t="s">
        <v>17</v>
      </c>
      <c r="F14">
        <v>0</v>
      </c>
      <c r="G14" s="8" t="s">
        <v>107</v>
      </c>
      <c r="J14" s="3" t="s">
        <v>24</v>
      </c>
      <c r="K14" s="3">
        <f>SUM(K12:K13)</f>
        <v>22</v>
      </c>
      <c r="M14" t="s">
        <v>114</v>
      </c>
    </row>
    <row r="15" spans="1:18" x14ac:dyDescent="0.3">
      <c r="A15">
        <v>262213013</v>
      </c>
      <c r="B15" t="s">
        <v>5</v>
      </c>
      <c r="C15" s="6"/>
      <c r="D15" t="s">
        <v>19</v>
      </c>
      <c r="F15">
        <v>0</v>
      </c>
      <c r="J15" s="3" t="s">
        <v>12</v>
      </c>
      <c r="K15" s="3">
        <f>COUNTIF(B:B,"Mail")</f>
        <v>4</v>
      </c>
    </row>
    <row r="16" spans="1:18" x14ac:dyDescent="0.3">
      <c r="A16">
        <v>262213014</v>
      </c>
      <c r="B16" t="s">
        <v>5</v>
      </c>
      <c r="C16" s="6"/>
      <c r="D16" t="s">
        <v>20</v>
      </c>
      <c r="F16">
        <v>0</v>
      </c>
      <c r="J16" s="3" t="s">
        <v>62</v>
      </c>
      <c r="K16" s="3">
        <f>ROUND((SUM(K14,K15)/COUNT(A:A))*100,2)</f>
        <v>59.09</v>
      </c>
    </row>
    <row r="17" spans="1:23" x14ac:dyDescent="0.3">
      <c r="A17">
        <v>262213015</v>
      </c>
      <c r="B17" t="s">
        <v>5</v>
      </c>
      <c r="C17" s="6"/>
      <c r="D17" t="s">
        <v>21</v>
      </c>
      <c r="F17">
        <v>0</v>
      </c>
    </row>
    <row r="18" spans="1:23" x14ac:dyDescent="0.3">
      <c r="A18">
        <v>262213016</v>
      </c>
      <c r="B18" t="s">
        <v>5</v>
      </c>
      <c r="C18" s="6"/>
      <c r="D18" t="s">
        <v>26</v>
      </c>
      <c r="F18">
        <v>0</v>
      </c>
      <c r="H18" s="7" t="s">
        <v>93</v>
      </c>
      <c r="I18" t="s">
        <v>123</v>
      </c>
    </row>
    <row r="19" spans="1:23" x14ac:dyDescent="0.3">
      <c r="A19">
        <v>262213017</v>
      </c>
      <c r="B19" t="s">
        <v>5</v>
      </c>
      <c r="C19" s="9"/>
      <c r="D19" t="s">
        <v>60</v>
      </c>
      <c r="F19">
        <v>7</v>
      </c>
      <c r="H19" s="5" t="s">
        <v>135</v>
      </c>
      <c r="I19" t="s">
        <v>124</v>
      </c>
      <c r="S19" t="s">
        <v>79</v>
      </c>
    </row>
    <row r="20" spans="1:23" x14ac:dyDescent="0.3">
      <c r="A20">
        <v>262213018</v>
      </c>
      <c r="B20" t="s">
        <v>5</v>
      </c>
      <c r="C20" s="9"/>
      <c r="D20" t="s">
        <v>133</v>
      </c>
      <c r="F20">
        <v>5</v>
      </c>
      <c r="G20" s="8" t="s">
        <v>108</v>
      </c>
      <c r="I20" t="s">
        <v>134</v>
      </c>
      <c r="S20" t="s">
        <v>105</v>
      </c>
      <c r="V20" s="8" t="s">
        <v>108</v>
      </c>
    </row>
    <row r="21" spans="1:23" x14ac:dyDescent="0.3">
      <c r="A21">
        <v>262213019</v>
      </c>
      <c r="B21" t="s">
        <v>5</v>
      </c>
      <c r="C21" s="9"/>
      <c r="D21" t="s">
        <v>32</v>
      </c>
      <c r="F21">
        <v>7</v>
      </c>
      <c r="I21" t="s">
        <v>136</v>
      </c>
      <c r="S21" s="4" t="s">
        <v>28</v>
      </c>
      <c r="U21" t="s">
        <v>115</v>
      </c>
    </row>
    <row r="22" spans="1:23" x14ac:dyDescent="0.3">
      <c r="A22">
        <v>262213020</v>
      </c>
      <c r="B22" t="s">
        <v>5</v>
      </c>
      <c r="C22" s="9"/>
      <c r="D22" t="s">
        <v>125</v>
      </c>
      <c r="E22" t="s">
        <v>126</v>
      </c>
      <c r="F22">
        <v>7</v>
      </c>
      <c r="I22" t="s">
        <v>145</v>
      </c>
      <c r="S22" s="4" t="s">
        <v>29</v>
      </c>
    </row>
    <row r="23" spans="1:23" x14ac:dyDescent="0.3">
      <c r="A23">
        <v>262213021</v>
      </c>
      <c r="B23" t="s">
        <v>12</v>
      </c>
      <c r="C23" s="9"/>
      <c r="D23" t="s">
        <v>138</v>
      </c>
      <c r="F23">
        <v>3</v>
      </c>
      <c r="S23" t="s">
        <v>30</v>
      </c>
    </row>
    <row r="24" spans="1:23" x14ac:dyDescent="0.3">
      <c r="A24">
        <v>262213022</v>
      </c>
      <c r="B24" t="s">
        <v>5</v>
      </c>
      <c r="C24" s="9"/>
      <c r="D24" t="s">
        <v>127</v>
      </c>
      <c r="F24">
        <v>0</v>
      </c>
      <c r="S24" t="s">
        <v>53</v>
      </c>
    </row>
    <row r="25" spans="1:23" x14ac:dyDescent="0.3">
      <c r="A25">
        <v>262213023</v>
      </c>
      <c r="B25" t="s">
        <v>5</v>
      </c>
      <c r="C25" s="9"/>
      <c r="D25" t="s">
        <v>128</v>
      </c>
      <c r="F25">
        <v>0</v>
      </c>
      <c r="I25" t="s">
        <v>139</v>
      </c>
      <c r="N25" s="10" t="s">
        <v>146</v>
      </c>
      <c r="S25" t="s">
        <v>31</v>
      </c>
      <c r="V25" s="5" t="s">
        <v>76</v>
      </c>
    </row>
    <row r="26" spans="1:23" x14ac:dyDescent="0.3">
      <c r="A26">
        <v>262213024</v>
      </c>
      <c r="B26" t="s">
        <v>5</v>
      </c>
      <c r="C26" s="9"/>
      <c r="D26" t="s">
        <v>141</v>
      </c>
      <c r="F26">
        <v>1</v>
      </c>
      <c r="H26" s="7" t="s">
        <v>66</v>
      </c>
      <c r="I26" t="s">
        <v>140</v>
      </c>
      <c r="S26" t="s">
        <v>58</v>
      </c>
    </row>
    <row r="27" spans="1:23" x14ac:dyDescent="0.3">
      <c r="A27">
        <v>262213025</v>
      </c>
      <c r="B27" t="s">
        <v>5</v>
      </c>
      <c r="C27" s="9"/>
      <c r="D27" t="s">
        <v>142</v>
      </c>
      <c r="F27">
        <v>2</v>
      </c>
      <c r="I27" t="s">
        <v>143</v>
      </c>
    </row>
    <row r="28" spans="1:23" x14ac:dyDescent="0.3">
      <c r="A28">
        <v>262213026</v>
      </c>
      <c r="C28" s="4"/>
      <c r="D28" t="s">
        <v>86</v>
      </c>
      <c r="F28">
        <v>10</v>
      </c>
      <c r="H28" s="5" t="s">
        <v>150</v>
      </c>
      <c r="I28" t="s">
        <v>151</v>
      </c>
      <c r="S28" s="4" t="s">
        <v>78</v>
      </c>
    </row>
    <row r="29" spans="1:23" x14ac:dyDescent="0.3">
      <c r="A29">
        <v>262213027</v>
      </c>
      <c r="C29" s="4"/>
      <c r="D29" t="s">
        <v>33</v>
      </c>
      <c r="S29" s="4" t="s">
        <v>40</v>
      </c>
      <c r="V29" s="8" t="s">
        <v>112</v>
      </c>
      <c r="W29" t="s">
        <v>54</v>
      </c>
    </row>
    <row r="30" spans="1:23" x14ac:dyDescent="0.3">
      <c r="A30">
        <v>262213028</v>
      </c>
      <c r="C30" s="4"/>
      <c r="D30" t="s">
        <v>34</v>
      </c>
      <c r="H30" s="7" t="s">
        <v>94</v>
      </c>
      <c r="S30" s="4" t="s">
        <v>35</v>
      </c>
      <c r="W30" t="s">
        <v>55</v>
      </c>
    </row>
    <row r="31" spans="1:23" x14ac:dyDescent="0.3">
      <c r="A31">
        <v>262213029</v>
      </c>
      <c r="C31" s="4"/>
      <c r="D31" t="s">
        <v>148</v>
      </c>
      <c r="S31" t="s">
        <v>36</v>
      </c>
    </row>
    <row r="32" spans="1:23" x14ac:dyDescent="0.3">
      <c r="A32">
        <v>262213030</v>
      </c>
      <c r="C32" s="4"/>
      <c r="D32" t="s">
        <v>61</v>
      </c>
      <c r="S32" s="4" t="s">
        <v>37</v>
      </c>
    </row>
    <row r="33" spans="1:22" x14ac:dyDescent="0.3">
      <c r="A33">
        <v>262213031</v>
      </c>
      <c r="C33" s="4"/>
      <c r="D33" t="s">
        <v>57</v>
      </c>
      <c r="S33" s="4" t="s">
        <v>38</v>
      </c>
    </row>
    <row r="34" spans="1:22" x14ac:dyDescent="0.3">
      <c r="A34">
        <v>262213032</v>
      </c>
      <c r="C34" s="4"/>
      <c r="D34" t="s">
        <v>130</v>
      </c>
      <c r="S34" t="s">
        <v>39</v>
      </c>
    </row>
    <row r="35" spans="1:22" x14ac:dyDescent="0.3">
      <c r="A35">
        <v>262213033</v>
      </c>
      <c r="C35" s="4"/>
      <c r="D35" t="s">
        <v>144</v>
      </c>
      <c r="S35" t="s">
        <v>41</v>
      </c>
    </row>
    <row r="36" spans="1:22" x14ac:dyDescent="0.3">
      <c r="A36">
        <v>262213034</v>
      </c>
      <c r="C36" s="4"/>
      <c r="D36" t="s">
        <v>131</v>
      </c>
      <c r="S36" t="s">
        <v>42</v>
      </c>
    </row>
    <row r="37" spans="1:22" x14ac:dyDescent="0.3">
      <c r="A37">
        <v>262213035</v>
      </c>
      <c r="C37" s="4"/>
      <c r="S37" t="s">
        <v>43</v>
      </c>
      <c r="T37" t="s">
        <v>117</v>
      </c>
    </row>
    <row r="38" spans="1:22" x14ac:dyDescent="0.3">
      <c r="A38">
        <v>262213036</v>
      </c>
      <c r="D38" t="s">
        <v>56</v>
      </c>
      <c r="E38" t="s">
        <v>27</v>
      </c>
      <c r="H38" s="5"/>
      <c r="S38" t="s">
        <v>75</v>
      </c>
      <c r="V38" s="5" t="s">
        <v>77</v>
      </c>
    </row>
    <row r="39" spans="1:22" x14ac:dyDescent="0.3">
      <c r="A39">
        <v>262213037</v>
      </c>
      <c r="D39" t="s">
        <v>45</v>
      </c>
    </row>
    <row r="40" spans="1:22" x14ac:dyDescent="0.3">
      <c r="A40">
        <v>262213038</v>
      </c>
      <c r="D40" t="s">
        <v>47</v>
      </c>
      <c r="S40" t="s">
        <v>48</v>
      </c>
    </row>
    <row r="41" spans="1:22" x14ac:dyDescent="0.3">
      <c r="A41">
        <v>262213039</v>
      </c>
      <c r="D41" t="s">
        <v>44</v>
      </c>
      <c r="S41" t="s">
        <v>49</v>
      </c>
    </row>
    <row r="42" spans="1:22" x14ac:dyDescent="0.3">
      <c r="A42">
        <v>262213040</v>
      </c>
      <c r="D42" t="s">
        <v>132</v>
      </c>
      <c r="S42" t="s">
        <v>50</v>
      </c>
    </row>
    <row r="43" spans="1:22" x14ac:dyDescent="0.3">
      <c r="A43">
        <v>262213041</v>
      </c>
      <c r="D43" t="s">
        <v>59</v>
      </c>
      <c r="S43" t="s">
        <v>51</v>
      </c>
    </row>
    <row r="44" spans="1:22" x14ac:dyDescent="0.3">
      <c r="A44">
        <v>262213042</v>
      </c>
      <c r="D44" t="s">
        <v>46</v>
      </c>
      <c r="S44" t="s">
        <v>52</v>
      </c>
    </row>
    <row r="45" spans="1:22" x14ac:dyDescent="0.3">
      <c r="A45">
        <v>262213043</v>
      </c>
      <c r="D45" t="s">
        <v>137</v>
      </c>
    </row>
    <row r="46" spans="1:22" x14ac:dyDescent="0.3">
      <c r="H46" s="7" t="s">
        <v>95</v>
      </c>
    </row>
    <row r="47" spans="1:22" x14ac:dyDescent="0.3">
      <c r="O47" t="s">
        <v>149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 F</dc:creator>
  <cp:lastModifiedBy>Si F</cp:lastModifiedBy>
  <dcterms:created xsi:type="dcterms:W3CDTF">2015-06-05T18:17:20Z</dcterms:created>
  <dcterms:modified xsi:type="dcterms:W3CDTF">2025-07-05T23:20:53Z</dcterms:modified>
</cp:coreProperties>
</file>